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72b91967d745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dor" sheetId="1" r:id="R8eb84861aff14612"/>
    <x:sheet xmlns:r="http://schemas.openxmlformats.org/officeDocument/2006/relationships" name="Ayuda" sheetId="2" r:id="R059c99c25dbf42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9">
    <x:font>
      <x:sz val="11"/>
      <x:name val="Carlito"/>
    </x:font>
    <x:font>
      <x:b/>
      <x:sz val="16"/>
      <x:color rgb="FFFFFF"/>
      <x:name val="Carlito"/>
    </x:font>
    <x:font>
      <x:sz val="11"/>
      <x:color rgb="334155"/>
      <x:name val="Carlito"/>
    </x:font>
    <x:font>
      <x:b/>
      <x:sz val="11"/>
      <x:color rgb="FFFFFF"/>
      <x:name val="Carlito"/>
    </x:font>
    <x:font>
      <x:b/>
      <x:sz val="11"/>
      <x:color rgb="334155"/>
      <x:name val="Carlito"/>
    </x:font>
    <x:font>
      <x:b/>
      <x:sz val="11"/>
      <x:color rgb="111827"/>
      <x:name val="Carlito"/>
    </x:font>
    <x:font>
      <x:b/>
      <x:sz val="11"/>
      <x:color rgb="1D4ED8"/>
      <x:name val="Carlito"/>
    </x:font>
    <x:font>
      <x:b/>
      <x:sz val="11"/>
      <x:name val="Carlito"/>
    </x:font>
    <x:font>
      <x:sz val="11"/>
      <x:color rgb="11182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2E8F0"/>
      </x:patternFill>
    </x:fill>
    <x:fill>
      <x:patternFill patternType="solid">
        <x:fgColor rgb="0F766E"/>
      </x:patternFill>
    </x:fill>
    <x:fill>
      <x:patternFill patternType="solid">
        <x:fgColor rgb="F8FAFC"/>
      </x:patternFill>
    </x:fill>
    <x:fill>
      <x:patternFill patternType="solid">
        <x:fgColor rgb="FEF3C7"/>
      </x:patternFill>
    </x:fill>
    <x:fill>
      <x:patternFill patternType="solid">
        <x:fgColor rgb="DBEAFE"/>
      </x:patternFill>
    </x:fill>
    <x:fill>
      <x:patternFill patternType="solid">
        <x:fgColor rgb="F1F5F9"/>
      </x:patternFill>
    </x:fill>
    <x:fill>
      <x:patternFill patternType="solid">
        <x:fgColor rgb="FFFFFF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7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8" fillId="9" borderId="1" xfId="0" applyNumberFormat="1" applyFont="1" applyFill="1" applyBorder="1" applyAlignment="1">
      <x:alignment wrapText="1"/>
    </x:xf>
    <x:xf numFmtId="200" fontId="5" fillId="6" borderId="0" xfId="0" applyNumberFormat="1" applyFont="1" applyFill="1" applyBorder="1"/>
    <x:xf numFmtId="200" fontId="5" fillId="6" borderId="1" xfId="0" applyNumberFormat="1" applyFont="1" applyFill="1" applyBorder="1"/>
    <x:xf numFmtId="200" fontId="6" fillId="7" borderId="0" xfId="0" applyNumberFormat="1" applyFont="1" applyFill="1" applyBorder="1"/>
    <x:xf numFmtId="200" fontId="6" fillId="7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7a4979161b48af" /><Relationship Type="http://schemas.openxmlformats.org/officeDocument/2006/relationships/theme" Target="/xl/theme/theme1.xml" Id="Rf83e15c9aba346af" /><Relationship Type="http://schemas.openxmlformats.org/officeDocument/2006/relationships/sharedStrings" Target="/xl/sharedStrings.xml" Id="R6148df942c374dbd" /><Relationship Type="http://schemas.openxmlformats.org/officeDocument/2006/relationships/worksheet" Target="/xl/worksheets/sheet1.xml" Id="R8eb84861aff14612" /><Relationship Type="http://schemas.openxmlformats.org/officeDocument/2006/relationships/worksheet" Target="/xl/worksheets/sheet2.xml" Id="R059c99c25dbf42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7" hidden="0" customWidth="1"/>
    <x:col min="4" max="4" width="24" hidden="0" customWidth="1"/>
    <x:col min="5" max="5" width="34" hidden="0" customWidth="1"/>
    <x:col min="6" max="6" width="30" hidden="0" customWidth="1"/>
  </x:cols>
  <x:sheetData>
    <x:row r="1" ht="20" customHeight="1">
      <x:c r="A1" s="5" t="str">
        <x:v>Simulador rKA + CPAK v10 Excel móvil</x:v>
      </x:c>
      <x:c r="B1" s="5" t="str"/>
      <x:c r="C1" s="5" t="str"/>
      <x:c r="D1" s="5" t="str"/>
      <x:c r="E1" s="5" t="str"/>
      <x:c r="F1" s="5" t="str"/>
    </x:row>
    <x:row r="2" ht="20" customHeight="1">
      <x:c r="A2" s="13" t="str">
        <x:v>Versión simplificada para iPhone / Excel / Numbers. Uso docente: no reemplaza balance intraoperatorio ni juicio quirúrgico.</x:v>
      </x:c>
      <x:c r="B2" s="13" t="str"/>
      <x:c r="C2" s="13" t="str"/>
      <x:c r="D2" s="13" t="str"/>
      <x:c r="E2" s="13" t="str"/>
      <x:c r="F2" s="13" t="str"/>
    </x:row>
    <x:row r="3" ht="20" customHeight="1"/>
    <x:row r="4" ht="20" customHeight="1">
      <x:c r="A4" s="21" t="str">
        <x:v>INPUTS DEL PACIENTE</x:v>
      </x:c>
      <x:c r="B4" s="21" t="str"/>
      <x:c r="C4" s="21" t="str"/>
      <x:c r="D4" s="21" t="str">
        <x:v>SIMULACIÓN</x:v>
      </x:c>
      <x:c r="E4" s="21" t="str"/>
      <x:c r="F4" s="21" t="str"/>
    </x:row>
    <x:row r="5" ht="20" customHeight="1">
      <x:c r="A5" s="28" t="str">
        <x:v>Lado</x:v>
      </x:c>
      <x:c r="B5" s="33" t="str">
        <x:v>Rodilla derecha</x:v>
      </x:c>
      <x:c r="C5" t="str"/>
      <x:c r="D5" s="27" t="str">
        <x:v>Δ tibial MPTA (°)</x:v>
      </x:c>
      <x:c r="E5" s="54" t="n">
        <x:v>0</x:v>
      </x:c>
      <x:c r="F5" t="str">
        <x:v>Sube = más valgo tibial</x:v>
      </x:c>
    </x:row>
    <x:row r="6" ht="20" customHeight="1">
      <x:c r="A6" s="28" t="str">
        <x:v>MPTA (°)</x:v>
      </x:c>
      <x:c r="B6" s="52" t="n">
        <x:v>91</x:v>
      </x:c>
      <x:c r="C6" t="str"/>
      <x:c r="D6" s="27" t="str">
        <x:v>Δ femoral LDFA (°)</x:v>
      </x:c>
      <x:c r="E6" s="54" t="n">
        <x:v>0</x:v>
      </x:c>
      <x:c r="F6" t="str">
        <x:v>Sube = más varo femoral</x:v>
      </x:c>
    </x:row>
    <x:row r="7" ht="20" customHeight="1">
      <x:c r="A7" s="28" t="str">
        <x:v>LDFA (°)</x:v>
      </x:c>
      <x:c r="B7" s="52" t="n">
        <x:v>83</x:v>
      </x:c>
      <x:c r="C7" t="str"/>
      <x:c r="D7" t="str"/>
      <x:c r="E7" t="str"/>
      <x:c r="F7" t="str"/>
    </x:row>
    <x:row r="8" ht="20" customHeight="1">
      <x:c r="A8" s="28" t="str">
        <x:v>mHKA medido (°)</x:v>
      </x:c>
      <x:c r="B8" s="52" t="n">
        <x:v>6</x:v>
      </x:c>
      <x:c r="C8" t="str"/>
      <x:c r="D8" t="str"/>
      <x:c r="E8" t="str"/>
      <x:c r="F8" t="str"/>
    </x:row>
    <x:row r="9" ht="20" customHeight="1">
      <x:c r="A9" s="28" t="str">
        <x:v>Dirección mHKA</x:v>
      </x:c>
      <x:c r="B9" s="52" t="str">
        <x:v>Valgo</x:v>
      </x:c>
      <x:c r="C9" t="str"/>
      <x:c r="D9" t="str"/>
      <x:c r="E9" t="str"/>
      <x:c r="F9" t="str"/>
    </x:row>
    <x:row r="10" ht="20" customHeight="1">
      <x:c r="A10" s="28" t="str">
        <x:v>JLCA (°)</x:v>
      </x:c>
      <x:c r="B10" s="52" t="n">
        <x:v>3</x:v>
      </x:c>
      <x:c r="C10" t="str"/>
      <x:c r="D10" t="str"/>
      <x:c r="E10" t="str"/>
      <x:c r="F10" t="str"/>
    </x:row>
    <x:row r="11" ht="20" customHeight="1">
      <x:c r="A11" s="28" t="str">
        <x:v>Reductibilidad</x:v>
      </x:c>
      <x:c r="B11" s="33" t="str">
        <x:v>Reductible</x:v>
      </x:c>
      <x:c r="C11" t="str"/>
      <x:c r="D11" t="str"/>
      <x:c r="E11" t="str"/>
      <x:c r="F11" t="str"/>
    </x:row>
    <x:row r="12" ht="20" customHeight="1">
      <x:c r="A12" s="28" t="str">
        <x:v>MCL</x:v>
      </x:c>
      <x:c r="B12" s="33" t="str">
        <x:v>Competente</x:v>
      </x:c>
      <x:c r="C12" t="str"/>
      <x:c r="D12" t="str"/>
      <x:c r="E12" t="str"/>
      <x:c r="F12" t="str"/>
    </x:row>
    <x:row r="13" ht="20" customHeight="1">
      <x:c r="A13" s="28" t="str">
        <x:v>LCL/PLC</x:v>
      </x:c>
      <x:c r="B13" s="33" t="str">
        <x:v>Competente</x:v>
      </x:c>
      <x:c r="C13" t="str"/>
      <x:c r="D13" t="str"/>
      <x:c r="E13" t="str"/>
      <x:c r="F13" t="str"/>
    </x:row>
    <x:row r="14" ht="20" customHeight="1">
      <x:c r="A14" s="28" t="str">
        <x:v>Defecto óseo</x:v>
      </x:c>
      <x:c r="B14" s="33" t="str">
        <x:v>No</x:v>
      </x:c>
      <x:c r="C14" t="str"/>
      <x:c r="D14" t="str"/>
      <x:c r="E14" t="str"/>
      <x:c r="F14" t="str"/>
    </x:row>
    <x:row r="15" ht="20" customHeight="1">
      <x:c r="A15" s="28" t="str">
        <x:v>Patela / tracking</x:v>
      </x:c>
      <x:c r="B15" s="33" t="str">
        <x:v>Estable</x:v>
      </x:c>
      <x:c r="C15" t="str"/>
      <x:c r="D15" t="str"/>
      <x:c r="E15" t="str"/>
      <x:c r="F15" t="str"/>
    </x:row>
    <x:row r="16" ht="20" customHeight="1">
      <x:c r="A16" s="28" t="str">
        <x:v>Compartimento colapsado</x:v>
      </x:c>
      <x:c r="B16" s="33" t="str">
        <x:v>Auto</x:v>
      </x:c>
      <x:c r="C16" t="str"/>
      <x:c r="D16" t="str"/>
      <x:c r="E16" t="str"/>
      <x:c r="F16" t="str"/>
    </x:row>
    <x:row r="17" ht="20" customHeight="1">
      <x:c r="A17" s="28" t="str">
        <x:v>Desgaste medial (mm)</x:v>
      </x:c>
      <x:c r="B17" s="52" t="n">
        <x:v>4</x:v>
      </x:c>
      <x:c r="C17" t="str"/>
      <x:c r="D17" t="str"/>
      <x:c r="E17" t="str"/>
      <x:c r="F17" t="str"/>
    </x:row>
    <x:row r="18" ht="20" customHeight="1">
      <x:c r="A18" s="28" t="str">
        <x:v>Desgaste lateral (mm)</x:v>
      </x:c>
      <x:c r="B18" s="52" t="n">
        <x:v>0</x:v>
      </x:c>
      <x:c r="C18" t="str"/>
      <x:c r="D18" t="str"/>
      <x:c r="E18" t="str"/>
      <x:c r="F18" t="str"/>
    </x:row>
    <x:row r="19" ht="20" customHeight="1"/>
    <x:row r="20" ht="20" customHeight="1">
      <x:c r="A20" s="21" t="str">
        <x:v>RESULTADOS CPAK / rKA</x:v>
      </x:c>
      <x:c r="B20" s="21" t="str"/>
      <x:c r="C20" s="21" t="str"/>
      <x:c r="D20" s="21" t="str"/>
      <x:c r="E20" s="21" t="str"/>
      <x:c r="F20" s="21" t="str"/>
    </x:row>
    <x:row r="21" ht="20" customHeight="1"/>
    <x:row r="22" ht="20" customHeight="1">
      <x:c r="A22" s="40" t="str">
        <x:v>aHKA medido</x:v>
      </x:c>
      <x:c r="B22" s="56" t="n">
        <x:f>B6-B7</x:f>
        <x:v>8</x:v>
      </x:c>
      <x:c r="C22" s="40" t="str">
        <x:v>°</x:v>
      </x:c>
      <x:c r="D22" s="40" t="str">
        <x:v>Tipo aHKA</x:v>
      </x:c>
      <x:c r="E22" s="40" t="str">
        <x:f>IF(B22&lt;-2,"Varo",IF(B22&gt;2,"Valgo","Neutro"))</x:f>
        <x:v>Valgo</x:v>
      </x:c>
      <x:c r="F22" s="40" t="str"/>
    </x:row>
    <x:row r="23" ht="20" customHeight="1">
      <x:c r="A23" s="40" t="str">
        <x:v>JLO medido</x:v>
      </x:c>
      <x:c r="B23" s="56" t="n">
        <x:f>B6+B7</x:f>
        <x:v>174</x:v>
      </x:c>
      <x:c r="C23" s="40" t="str">
        <x:v>°</x:v>
      </x:c>
      <x:c r="D23" s="40" t="str">
        <x:v>Tipo JLO</x:v>
      </x:c>
      <x:c r="E23" s="40" t="str">
        <x:f>IF(B23&lt;177,"Apex distal",IF(B23&gt;183,"Apex proximal","Neutra"))</x:f>
        <x:v>Apex distal</x:v>
      </x:c>
      <x:c r="F23" s="40" t="str"/>
    </x:row>
    <x:row r="24" ht="20" customHeight="1">
      <x:c r="A24" s="40" t="str">
        <x:v>CPAK</x:v>
      </x:c>
      <x:c r="B24" s="40" t="str">
        <x:f>IF(E22="Varo",IF(E23="Apex distal","CPAK I",IF(E23="Neutra","CPAK IV","CPAK VII")),IF(E22="Neutro",IF(E23="Apex distal","CPAK II",IF(E23="Neutra","CPAK V","CPAK VIII")),IF(E23="Apex distal","CPAK III",IF(E23="Neutra","CPAK VI","CPAK IX"))))</x:f>
        <x:v>CPAK III</x:v>
      </x:c>
      <x:c r="C24" s="40" t="str"/>
      <x:c r="D24" s="40" t="str">
        <x:v>Lectura</x:v>
      </x:c>
      <x:c r="E24" s="40" t="str">
        <x:f>E22&amp;" + "&amp;E23</x:f>
        <x:v>Valgo + Apex distal</x:v>
      </x:c>
      <x:c r="F24" s="40" t="str"/>
    </x:row>
    <x:row r="25" ht="20" customHeight="1">
      <x:c r="A25" s="40" t="str">
        <x:v>MPTA planificado</x:v>
      </x:c>
      <x:c r="B25" s="56" t="n">
        <x:f>B6+E5</x:f>
        <x:v>91</x:v>
      </x:c>
      <x:c r="C25" s="40" t="str">
        <x:v>°</x:v>
      </x:c>
      <x:c r="D25" s="40" t="str">
        <x:v>LDFA planificado</x:v>
      </x:c>
      <x:c r="E25" s="56" t="n">
        <x:f>B7+E6</x:f>
        <x:v>83</x:v>
      </x:c>
      <x:c r="F25" s="40" t="str">
        <x:v>°</x:v>
      </x:c>
    </x:row>
    <x:row r="26" ht="20" customHeight="1">
      <x:c r="A26" s="40" t="str">
        <x:v>aHKA planificado</x:v>
      </x:c>
      <x:c r="B26" s="56" t="n">
        <x:f>B25-E25</x:f>
        <x:v>8</x:v>
      </x:c>
      <x:c r="C26" s="40" t="str">
        <x:v>°</x:v>
      </x:c>
      <x:c r="D26" s="40" t="str">
        <x:v>JLO planificado</x:v>
      </x:c>
      <x:c r="E26" s="56" t="n">
        <x:f>B25+E25</x:f>
        <x:v>174</x:v>
      </x:c>
      <x:c r="F26" s="40" t="str">
        <x:v>°</x:v>
      </x:c>
    </x:row>
    <x:row r="27" ht="20" customHeight="1">
      <x:c r="A27" s="40" t="str">
        <x:v>mHKA estimado</x:v>
      </x:c>
      <x:c r="B27" s="56" t="n">
        <x:f>IF(B9="Varo",-B8,IF(B9="Valgo",B8,0))+E5-E6</x:f>
        <x:v>6</x:v>
      </x:c>
      <x:c r="C27" s="40" t="str">
        <x:v>°</x:v>
      </x:c>
      <x:c r="D27" s="40" t="str">
        <x:v>Nota</x:v>
      </x:c>
      <x:c r="E27" s="40" t="str">
        <x:v>Estimación simple; validar intraoperatorio</x:v>
      </x:c>
      <x:c r="F27" s="40" t="str"/>
    </x:row>
    <x:row r="28" ht="20" customHeight="1">
      <x:c r="A28" s="40"/>
      <x:c r="B28" s="40"/>
      <x:c r="C28" s="40"/>
      <x:c r="D28" s="40"/>
      <x:c r="E28" s="40"/>
      <x:c r="F28" s="40"/>
    </x:row>
    <x:row r="29" ht="20" customHeight="1">
      <x:c r="A29" s="41" t="str">
        <x:v>INTERPRETACIÓN CLÍNICA</x:v>
      </x:c>
      <x:c r="B29" s="41" t="str"/>
      <x:c r="C29" s="41" t="str"/>
      <x:c r="D29" s="41" t="str"/>
      <x:c r="E29" s="41" t="str"/>
      <x:c r="F29" s="41" t="str"/>
    </x:row>
    <x:row r="30" ht="20" customHeight="1">
      <x:c r="A30" s="40" t="str">
        <x:v>Fenotipo</x:v>
      </x:c>
      <x:c r="B30" s="40" t="str">
        <x:f>B24&amp;" · "&amp;E24</x:f>
        <x:v>CPAK III · Valgo + Apex distal</x:v>
      </x:c>
      <x:c r="C30" s="40" t="str"/>
      <x:c r="D30" s="40" t="str">
        <x:v>Plan coronal</x:v>
      </x:c>
      <x:c r="E30" s="40" t="str">
        <x:f>IF(ABS(B26)&lt;=3,"Dentro de zona segura aHKA ±3°","Fuera de zona segura aHKA ±3°")</x:f>
        <x:v>Fuera de zona segura aHKA ±3°</x:v>
      </x:c>
      <x:c r="F30" s="40" t="str"/>
    </x:row>
    <x:row r="31" ht="20" customHeight="1">
      <x:c r="A31" s="40" t="str">
        <x:v>Colapso dominante</x:v>
      </x:c>
      <x:c r="B31" s="40" t="str">
        <x:f>IF(B16="Auto",IF(B17&gt;B18+1,"Medial",IF(B18&gt;B17+1,"Lateral",IF(AND(B17&gt;2,B18&gt;2),"Mixto","No claro"))),B16)</x:f>
        <x:v>Medial</x:v>
      </x:c>
      <x:c r="C31" s="40" t="str"/>
      <x:c r="D31" s="40" t="str">
        <x:v>Rigidez</x:v>
      </x:c>
      <x:c r="E31" s="40" t="str">
        <x:f>B11</x:f>
        <x:v>Reductible</x:v>
      </x:c>
      <x:c r="F31" s="40" t="str"/>
    </x:row>
    <x:row r="32" ht="20" customHeight="1">
      <x:c r="A32" s="40" t="str">
        <x:v>Score heurístico complejidad</x:v>
      </x:c>
      <x:c r="B32" s="56" t="n">
        <x:f>MIN(100,IF(ABS(B26)&gt;3,15,0)+IF(ABS(E5)+ABS(E6)&gt;6,15,0)+IF(B10&gt;4,10,0)+IF(B11="Rígida",15,IF(B11="Parcial",8,0))+IF(B12="Insuficiente",20,IF(B12="Dudoso",10,0))+IF(B13="Insuficiente",15,IF(B13="Dudoso",8,0))+IF(B14="Severo",20,IF(B14="Moderado",12,IF(B14="Leve",5,0)))+IF(B15="Inestable",10,IF(B15="Dudoso",5,0))+IF(B31="Mixto",10,0))</x:f>
        <x:v>15</x:v>
      </x:c>
      <x:c r="C32" s="40" t="str">
        <x:v>/100</x:v>
      </x:c>
      <x:c r="D32" s="40" t="str">
        <x:v>Nivel</x:v>
      </x:c>
      <x:c r="E32" s="40" t="str">
        <x:f>IF(B32&lt;=30,"Baja",IF(B32&lt;=60,"Media","Alta"))</x:f>
        <x:v>Baja</x:v>
      </x:c>
      <x:c r="F32" s="40" t="str"/>
    </x:row>
    <x:row r="33" ht="20" customHeight="1">
      <x:c r="A33" s="40" t="str">
        <x:v>Filosofía sugerida</x:v>
      </x:c>
      <x:c r="B33" s="40" t="str">
        <x:f>IF(E32="Alta","Plan complejo: navegación/robótica, estrategia de constraint y validación estricta de gaps",IF(ABS(B26)&lt;=3,"rKA dentro de zona segura; preservar fenotipo dentro de límites","Ajustar plan: aHKA fuera de safe zone"))</x:f>
        <x:v>Ajustar plan: aHKA fuera de safe zone</x:v>
      </x:c>
      <x:c r="C33" s="40" t="str"/>
      <x:c r="D33" s="40" t="str"/>
      <x:c r="E33" s="40" t="str"/>
      <x:c r="F33" s="40" t="str"/>
    </x:row>
    <x:row r="34" ht="20" customHeight="1">
      <x:c r="A34" s="40"/>
      <x:c r="B34" s="40"/>
      <x:c r="C34" s="40"/>
      <x:c r="D34" s="40"/>
      <x:c r="E34" s="40"/>
      <x:c r="F34" s="40"/>
    </x:row>
    <x:row r="35" ht="20" customHeight="1">
      <x:c r="A35" s="41" t="str">
        <x:v>ALERTAS AUTOMÁTICAS</x:v>
      </x:c>
      <x:c r="B35" s="41" t="str"/>
      <x:c r="C35" s="41" t="str"/>
      <x:c r="D35" s="41" t="str"/>
      <x:c r="E35" s="41" t="str"/>
      <x:c r="F35" s="41" t="str"/>
    </x:row>
    <x:row r="36" ht="36" customHeight="1">
      <x:c r="A36" s="40" t="str">
        <x:v>Alerta 1</x:v>
      </x:c>
      <x:c r="B36" s="40" t="str">
        <x:f>IF(ABS(B26)&gt;3,"aHKA planificado fuera de ±3°: revisar cortes o filosofía.","")</x:f>
        <x:v>aHKA planificado fuera de ±3°: revisar cortes o filosofía.</x:v>
      </x:c>
      <x:c r="C36" s="40" t="str"/>
      <x:c r="D36" s="40" t="str"/>
      <x:c r="E36" s="40" t="str"/>
      <x:c r="F36" s="40" t="str"/>
    </x:row>
    <x:row r="37" ht="36" customHeight="1">
      <x:c r="A37" s="40" t="str">
        <x:v>Alerta 2</x:v>
      </x:c>
      <x:c r="B37" s="40" t="str">
        <x:f>IF(B10&gt;4,"JLCA alto: probable componente intraarticular/laxitud. No interpretar solo como fenotipo óseo.","")</x:f>
      </x:c>
      <x:c r="C37" s="40" t="str"/>
      <x:c r="D37" s="40" t="str"/>
      <x:c r="E37" s="40" t="str"/>
      <x:c r="F37" s="40" t="str"/>
    </x:row>
    <x:row r="38" ht="36" customHeight="1">
      <x:c r="A38" s="40" t="str">
        <x:v>Alerta 3</x:v>
      </x:c>
      <x:c r="B38" s="40" t="str">
        <x:f>IF(B11="Rígida","Deformidad rígida: plan exige stress views y estrategia de partes blandas.",IF(B11="Parcial","Reductibilidad parcial: riesgo de sobrecorrección si se trata como deformidad flexible.",""))</x:f>
      </x:c>
      <x:c r="C38" s="40" t="str"/>
      <x:c r="D38" s="40" t="str"/>
      <x:c r="E38" s="40" t="str"/>
      <x:c r="F38" s="40" t="str"/>
    </x:row>
    <x:row r="39" ht="36" customHeight="1">
      <x:c r="A39" s="40" t="str">
        <x:v>Alerta 4</x:v>
      </x:c>
      <x:c r="B39" s="40" t="str">
        <x:f>IF(AND(B9="Valgo",OR(B12="Dudoso",B12="Insuficiente")),"Valgo + MCL no plenamente competente: subir nivel de alerta y evaluar constraint.","")</x:f>
      </x:c>
      <x:c r="C39" s="40" t="str"/>
      <x:c r="D39" s="40" t="str"/>
      <x:c r="E39" s="40" t="str"/>
      <x:c r="F39" s="40" t="str"/>
    </x:row>
    <x:row r="40" ht="36" customHeight="1">
      <x:c r="A40" s="40" t="str">
        <x:v>Alerta 5</x:v>
      </x:c>
      <x:c r="B40" s="40" t="str">
        <x:f>IF(B31="Mixto","Colapso mixto: el plan no debe depender de un solo compartimento.","")</x:f>
      </x:c>
      <x:c r="C40" s="40" t="str"/>
      <x:c r="D40" s="40" t="str"/>
      <x:c r="E40" s="40" t="str"/>
      <x:c r="F40" s="40" t="str"/>
    </x:row>
    <x:row r="41" ht="36" customHeight="1">
      <x:c r="A41" s="40" t="str">
        <x:v>Alerta 6</x:v>
      </x:c>
      <x:c r="B41" s="40" t="str">
        <x:f>IF(OR(AND(E22="Varo",B31="Lateral"),AND(E22="Valgo",B31="Medial")),"Discordancia fenotipo/colapso: revisar mediciones, rotación de RX y diagnóstico.","")</x:f>
        <x:v>Discordancia fenotipo/colapso: revisar mediciones, rotación de RX y diagnóstico.</x:v>
      </x:c>
      <x:c r="C41" s="40" t="str"/>
      <x:c r="D41" s="40" t="str"/>
      <x:c r="E41" s="40" t="str"/>
      <x:c r="F41" s="40" t="str"/>
    </x:row>
    <x:row r="42" ht="36" customHeight="1">
      <x:c r="A42" s="40" t="str">
        <x:v>Alerta 7</x:v>
      </x:c>
      <x:c r="B42" s="40" t="str">
        <x:f>IF(ABS(E5)+ABS(E6)&gt;6,"Corrección total alta: riesgo de salir de rKA restrictiva.","")</x:f>
      </x:c>
      <x:c r="C42" s="40" t="str"/>
      <x:c r="D42" s="40" t="str"/>
      <x:c r="E42" s="40" t="str"/>
      <x:c r="F42" s="40" t="str"/>
    </x:row>
    <x:row r="43" ht="20" customHeight="1">
      <x:c r="A43" s="40"/>
      <x:c r="B43" s="40"/>
      <x:c r="C43" s="40"/>
      <x:c r="D43" s="40"/>
      <x:c r="E43" s="40"/>
      <x:c r="F43" s="40"/>
    </x:row>
    <x:row r="44" ht="20" customHeight="1">
      <x:c r="A44" s="41" t="str">
        <x:v>CORTES ESTIMADOS DE REFERENCIA</x:v>
      </x:c>
      <x:c r="B44" s="41" t="str"/>
      <x:c r="C44" s="41" t="str"/>
      <x:c r="D44" s="41" t="str"/>
      <x:c r="E44" s="41" t="str"/>
      <x:c r="F44" s="41" t="str"/>
    </x:row>
    <x:row r="45" ht="20" customHeight="1">
      <x:c r="A45" s="40" t="str">
        <x:v>Base lado intacto</x:v>
      </x:c>
      <x:c r="B45" s="56" t="n">
        <x:v>8</x:v>
      </x:c>
      <x:c r="C45" s="56" t="str">
        <x:v>mm</x:v>
      </x:c>
      <x:c r="D45" s="56" t="str">
        <x:v>Base lado colapsado</x:v>
      </x:c>
      <x:c r="E45" s="56" t="n">
        <x:v>2</x:v>
      </x:c>
      <x:c r="F45" s="40" t="str">
        <x:v>mm</x:v>
      </x:c>
    </x:row>
    <x:row r="46" ht="20" customHeight="1">
      <x:c r="A46" s="40" t="str">
        <x:v>Tibia medial estimada</x:v>
      </x:c>
      <x:c r="B46" s="56" t="n">
        <x:f>IF(B31="Medial",2,8)+IF(E5&lt;0,ROUND(ABS(E5),0),0)</x:f>
        <x:v>2</x:v>
      </x:c>
      <x:c r="C46" s="56" t="str">
        <x:v>mm</x:v>
      </x:c>
      <x:c r="D46" s="56" t="str">
        <x:v>Tibia lateral estimada</x:v>
      </x:c>
      <x:c r="E46" s="56" t="n">
        <x:f>IF(B31="Lateral",2,8)+IF(E5&gt;0,ROUND(ABS(E5),0),0)</x:f>
        <x:v>8</x:v>
      </x:c>
      <x:c r="F46" s="40" t="str">
        <x:v>mm</x:v>
      </x:c>
    </x:row>
    <x:row r="47" ht="20" customHeight="1">
      <x:c r="A47" s="40" t="str">
        <x:v>Fémur distal medial estimado</x:v>
      </x:c>
      <x:c r="B47" s="56" t="n">
        <x:f>8+IF(E6&lt;0,ROUND(ABS(E6),0),0)</x:f>
        <x:v>8</x:v>
      </x:c>
      <x:c r="C47" s="56" t="str">
        <x:v>mm</x:v>
      </x:c>
      <x:c r="D47" s="56" t="str">
        <x:v>Fémur distal lateral estimado</x:v>
      </x:c>
      <x:c r="E47" s="56" t="n">
        <x:f>8+IF(E6&gt;0,ROUND(ABS(E6),0),0)</x:f>
        <x:v>8</x:v>
      </x:c>
      <x:c r="F47" s="40" t="str">
        <x:v>mm</x:v>
      </x:c>
    </x:row>
    <x:row r="48" ht="20" customHeight="1">
      <x:c r="A48" s="40" t="str">
        <x:v>Slope tibial</x:v>
      </x:c>
      <x:c r="B48" s="40" t="str">
        <x:f>IF(B13="Insuficiente","Conservar/reducir según LCA/PCL y gaps","Preservar slope nativo si balance lo permite")</x:f>
        <x:v>Preservar slope nativo si balance lo permite</x:v>
      </x:c>
      <x:c r="C48" s="40" t="str"/>
      <x:c r="D48" s="40" t="str">
        <x:v>Rotación femoral</x:v>
      </x:c>
      <x:c r="E48" s="40" t="str">
        <x:f>IF(B15="Inestable","Priorizar tracking patelar y gaps","Ajustar a gaps + eje transepicondíleo")</x:f>
        <x:v>Ajustar a gaps + eje transepicondíleo</x:v>
      </x:c>
      <x:c r="F48" s="40" t="str"/>
    </x:row>
    <x:row r="49" ht="20" customHeight="1"/>
    <x:row r="50" ht="20" customHeight="1">
      <x:c r="A50" s="21" t="str">
        <x:v>RESUMEN PARA COPIAR AL INFORME / SLIDE</x:v>
      </x:c>
      <x:c r="B50" s="21" t="str"/>
      <x:c r="C50" s="21" t="str"/>
      <x:c r="D50" s="21" t="str"/>
      <x:c r="E50" s="21" t="str"/>
      <x:c r="F50" s="21" t="str"/>
    </x:row>
    <x:row r="51" ht="34" customHeight="1">
      <x:c r="A51" s="45" t="str">
        <x:v>Fenotipo:</x:v>
      </x:c>
      <x:c r="B51" s="49" t="str">
        <x:f>B24&amp;" (aHKA "&amp;TEXT(B22,"0.0")&amp;"°, JLO "&amp;TEXT(B23,"0.0")&amp;"°)"</x:f>
        <x:v>CPAK III (aHKA 8.0°, JLO 174.0°)</x:v>
      </x:c>
      <x:c r="C51" t="str"/>
      <x:c r="D51" t="str"/>
      <x:c r="E51" t="str"/>
      <x:c r="F51" t="str"/>
    </x:row>
    <x:row r="52" ht="34" customHeight="1">
      <x:c r="A52" s="45" t="str">
        <x:v>Plan:</x:v>
      </x:c>
      <x:c r="B52" s="49" t="str">
        <x:f>TEXT(B25,"0.0")&amp;"° MPTA / "&amp;TEXT(E25,"0.0")&amp;"° LDFA · aHKA plan "&amp;TEXT(B26,"0.0")&amp;"°"</x:f>
        <x:v>91.0° MPTA / 83.0° LDFA · aHKA plan 8.0°</x:v>
      </x:c>
      <x:c r="C52" t="str"/>
      <x:c r="D52" t="str"/>
      <x:c r="E52" t="str"/>
      <x:c r="F52" t="str"/>
    </x:row>
    <x:row r="53" ht="34" customHeight="1">
      <x:c r="A53" s="45" t="str">
        <x:v>mHKA estimado:</x:v>
      </x:c>
      <x:c r="B53" s="49" t="str">
        <x:f>TEXT(B27,"0.0")&amp;"° (estimación simple; validar intraoperatorio)"</x:f>
        <x:v>6.0° (estimación simple; validar intraoperatorio)</x:v>
      </x:c>
      <x:c r="C53" t="str"/>
      <x:c r="D53" t="str"/>
      <x:c r="E53" t="str"/>
      <x:c r="F53" t="str"/>
    </x:row>
    <x:row r="54" ht="34" customHeight="1">
      <x:c r="A54" s="45" t="str">
        <x:v>Complejidad:</x:v>
      </x:c>
      <x:c r="B54" s="49" t="str">
        <x:f>E32&amp;" ("&amp;TEXT(B32,"0")&amp;"/100)"</x:f>
        <x:v>Baja (15/100)</x:v>
      </x:c>
      <x:c r="C54" t="str"/>
      <x:c r="D54" t="str"/>
      <x:c r="E54" t="str"/>
      <x:c r="F54" t="str"/>
    </x:row>
    <x:row r="55" ht="34" customHeight="1">
      <x:c r="A55" s="45" t="str">
        <x:v>Alerta principal:</x:v>
      </x:c>
      <x:c r="B55" s="49" t="str">
        <x:f>IF(B36&lt;&gt;"",B36,IF(B37&lt;&gt;"",B37,IF(B38&lt;&gt;"",B38,"Sin alerta mayor automática")))</x:f>
        <x:v>aHKA planificado fuera de ±3°: revisar cortes o filosofía.</x:v>
      </x:c>
      <x:c r="C55" t="str"/>
      <x:c r="D55" t="str"/>
      <x:c r="E55" t="str"/>
      <x:c r="F55" t="str"/>
    </x:row>
    <x:row r="56" ht="34" customHeight="1">
      <x:c r="A56" s="45" t="str">
        <x:v>Uso:</x:v>
      </x:c>
      <x:c r="B56" s="49" t="str">
        <x:v>Docente / planificación. No reemplaza medición intraoperatoria, caliper, navegación/robot ni juicio quirúrgico.</x:v>
      </x:c>
      <x:c r="C56" t="str"/>
      <x:c r="D56" t="str"/>
      <x:c r="E56" t="str"/>
      <x:c r="F56" t="str"/>
    </x:row>
    <x:row r="57" ht="20" customHeight="1"/>
    <x:row r="58" ht="20" customHeight="1"/>
    <x:row r="59" ht="20" customHeight="1"/>
    <x:row r="60" ht="20" customHeight="1"/>
  </x:sheetData>
  <x:mergeCells>
    <x:mergeCell ref="A1:F1"/>
    <x:mergeCell ref="A2:F2"/>
    <x:mergeCell ref="A20:F20"/>
    <x:mergeCell ref="A29:F29"/>
    <x:mergeCell ref="A35:F35"/>
    <x:mergeCell ref="A44:F44"/>
    <x:mergeCell ref="A50:F50"/>
  </x:mergeCells>
  <x:conditionalFormatting sqref="B32:B32">
    <x:cfRule type="cellIs" dxfId="0" priority="1" operator="greaterThan">
      <x:formula>60</x:formula>
    </x:cfRule>
    <x:cfRule type="cellIs" dxfId="1" priority="2" operator="between">
      <x:formula>31</x:formula>
    </x:cfRule>
    <x:cfRule type="cellIs" dxfId="2" priority="3" operator="lessThanOrEqual">
      <x:formula>30</x:formula>
    </x:cfRule>
  </x:conditionalFormatting>
  <x:conditionalFormatting sqref="E30:E30">
    <x:cfRule type="expression" dxfId="3" priority="4">
      <x:formula>LEFT(E30,5)="Fuera"</x:formula>
    </x:cfRule>
    <x:cfRule type="expression" dxfId="4" priority="5">
      <x:formula>LEFT(E30,6)="Dentro"</x:formula>
    </x:cfRule>
  </x:conditionalFormatting>
  <x:dataValidations count="8">
    <x:dataValidation type="list" sqref="B5">
      <x:formula1>"Rodilla derecha,Rodilla izquierda"</x:formula1>
    </x:dataValidation>
    <x:dataValidation type="list" sqref="B9">
      <x:formula1>"Valgo,Varo,Neutro"</x:formula1>
    </x:dataValidation>
    <x:dataValidation type="list" sqref="B11">
      <x:formula1>"Reductible,Parcial,Rígida"</x:formula1>
    </x:dataValidation>
    <x:dataValidation type="list" sqref="B12">
      <x:formula1>"Competente,Dudoso,Insuficiente"</x:formula1>
    </x:dataValidation>
    <x:dataValidation type="list" sqref="B13">
      <x:formula1>"Competente,Dudoso,Insuficiente"</x:formula1>
    </x:dataValidation>
    <x:dataValidation type="list" sqref="B14">
      <x:formula1>"No,Leve,Moderado,Severo"</x:formula1>
    </x:dataValidation>
    <x:dataValidation type="list" sqref="B15">
      <x:formula1>"Estable,Dudoso,Inestable"</x:formula1>
    </x:dataValidation>
    <x:dataValidation type="list" sqref="B16">
      <x:formula1>"Auto,Medial,Lateral,Mixto,Ninguno"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0" hidden="0" customWidth="1"/>
    <x:col min="4" max="4" width="42" hidden="0" customWidth="1"/>
  </x:cols>
  <x:sheetData>
    <x:row r="1" ht="30" customHeight="1">
      <x:c r="A1" s="5" t="str">
        <x:v>Guía rápida</x:v>
      </x:c>
      <x:c r="B1" s="5" t="str"/>
      <x:c r="C1" s="5" t="str"/>
      <x:c r="D1" s="5" t="str"/>
    </x:row>
    <x:row r="2" ht="34" customHeight="1">
      <x:c r="A2" s="13"/>
      <x:c r="B2" s="13"/>
      <x:c r="C2" s="13"/>
      <x:c r="D2" s="13"/>
    </x:row>
    <x:row r="3" ht="24" customHeight="1">
      <x:c r="A3" s="21" t="str">
        <x:v>Paso</x:v>
      </x:c>
      <x:c r="B3" s="21" t="str">
        <x:v>Qué hacer</x:v>
      </x:c>
      <x:c r="C3" s="21" t="str">
        <x:v>Dónde</x:v>
      </x:c>
      <x:c r="D3" s="21" t="str">
        <x:v>Comentario</x:v>
      </x:c>
    </x:row>
    <x:row r="4">
      <x:c r="A4" s="40" t="n">
        <x:v>1</x:v>
      </x:c>
      <x:c r="B4" s="40" t="str">
        <x:v>Ingresar mediciones de telemetría</x:v>
      </x:c>
      <x:c r="C4" s="40" t="str">
        <x:v>Simulador B5:B18</x:v>
      </x:c>
      <x:c r="D4" s="40" t="str">
        <x:v>MPTA, LDFA, mHKA, JLCA, reductibilidad y desgaste.</x:v>
      </x:c>
    </x:row>
    <x:row r="5">
      <x:c r="A5" s="40" t="n">
        <x:v>2</x:v>
      </x:c>
      <x:c r="B5" s="40" t="str">
        <x:v>Modificar corrección simulada</x:v>
      </x:c>
      <x:c r="C5" s="40" t="str">
        <x:v>Simulador E5:E6</x:v>
      </x:c>
      <x:c r="D5" s="40" t="str">
        <x:v>Use valores positivos/negativos; sin sliders para máxima compatibilidad móvil.</x:v>
      </x:c>
    </x:row>
    <x:row r="6">
      <x:c r="A6" s="40" t="n">
        <x:v>3</x:v>
      </x:c>
      <x:c r="B6" s="40" t="str">
        <x:v>Revisar CPAK y aHKA planificado</x:v>
      </x:c>
      <x:c r="C6" s="40" t="str">
        <x:v>Simulador A22:F27</x:v>
      </x:c>
      <x:c r="D6" s="40" t="str">
        <x:v>aHKA no es mHKA; están separados.</x:v>
      </x:c>
    </x:row>
    <x:row r="7">
      <x:c r="A7" s="40" t="n">
        <x:v>4</x:v>
      </x:c>
      <x:c r="B7" s="40" t="str">
        <x:v>Leer alertas</x:v>
      </x:c>
      <x:c r="C7" s="40" t="str">
        <x:v>Simulador A36:F42</x:v>
      </x:c>
      <x:c r="D7" s="40" t="str">
        <x:v>Alertas heurísticas, no validadas.</x:v>
      </x:c>
    </x:row>
    <x:row r="8">
      <x:c r="A8" s="40" t="n">
        <x:v>5</x:v>
      </x:c>
      <x:c r="B8" s="40" t="str">
        <x:v>Copiar resumen</x:v>
      </x:c>
      <x:c r="C8" s="40" t="str">
        <x:v>Simulador A51:B56</x:v>
      </x:c>
      <x:c r="D8" s="40" t="str">
        <x:v>Texto útil para slide o discusión clínica.</x:v>
      </x:c>
    </x:row>
    <x:row r="9">
      <x:c r="A9" s="40" t="str"/>
      <x:c r="B9" s="40" t="str"/>
      <x:c r="C9" s="40" t="str"/>
      <x:c r="D9" s="40" t="str"/>
    </x:row>
    <x:row r="10">
      <x:c r="A10" s="40" t="str">
        <x:v>Convención tibial</x:v>
      </x:c>
      <x:c r="B10" s="40" t="str">
        <x:v>Δ MPTA positivo = más valgo tibial</x:v>
      </x:c>
      <x:c r="C10" s="40" t="str"/>
      <x:c r="D10" s="40" t="str"/>
    </x:row>
    <x:row r="11">
      <x:c r="A11" s="40" t="str">
        <x:v>Convención femoral</x:v>
      </x:c>
      <x:c r="B11" s="40" t="str">
        <x:v>Δ LDFA positivo = más varo femoral</x:v>
      </x:c>
      <x:c r="C11" s="40" t="str"/>
      <x:c r="D11" s="40" t="str"/>
    </x:row>
    <x:row r="12">
      <x:c r="A12" s="40" t="str">
        <x:v>Advertencia</x:v>
      </x:c>
      <x:c r="B12" s="40" t="str">
        <x:v>Herramienta docente no validada</x:v>
      </x:c>
      <x:c r="C12" s="40" t="str"/>
      <x:c r="D12" s="40" t="str">
        <x:v>No usar como recomendador automático.</x:v>
      </x:c>
    </x:row>
    <x:row r="13">
      <x:c r="A13" s="40" t="str">
        <x:v>Versión</x:v>
      </x:c>
      <x:c r="B13" s="40" t="str">
        <x:v>Excel móvil</x:v>
      </x:c>
      <x:c r="C13" s="40" t="str"/>
      <x:c r="D13" s="40" t="str">
        <x:v>Compatible con Excel, Numbers o Google Sheets.</x:v>
      </x:c>
    </x:row>
  </x:sheetData>
  <x:mergeCells>
    <x:mergeCell ref="A1:D1"/>
  </x:mergeCells>
  <x:pageMargins left="0.7" right="0.7" top="0.75" bottom="0.75" header="0.3" footer="0.3"/>
</x:worksheet>
</file>